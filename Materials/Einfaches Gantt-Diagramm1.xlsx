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xr:revisionPtr revIDLastSave="0" documentId="13_ncr:1_{84B7FEF1-8047-4057-96B0-D329B60B8936}" xr6:coauthVersionLast="47" xr6:coauthVersionMax="47" xr10:uidLastSave="{00000000-0000-0000-0000-000000000000}"/>
  <bookViews>
    <workbookView xWindow="-108" yWindow="-108" windowWidth="23256" windowHeight="13896" xr2:uid="{00000000-000D-0000-FFFF-FFFF00000000}"/>
  </bookViews>
  <sheets>
    <sheet name="Projektplan" sheetId="11" r:id="rId1"/>
    <sheet name="Info" sheetId="12" r:id="rId2"/>
  </sheets>
  <definedNames>
    <definedName name="Anzeigewoche">Projektplan!#REF!</definedName>
    <definedName name="_xlnm.Print_Titles" localSheetId="0">Projektplan!$4:$4</definedName>
    <definedName name="Heute" localSheetId="0">TODAY()</definedName>
    <definedName name="Projektanfang">Projektplan!$E$3</definedName>
    <definedName name="task_end" localSheetId="0">Projektplan!$F1</definedName>
    <definedName name="task_progress" localSheetId="0">Projektplan!$D1</definedName>
    <definedName name="task_start" localSheetId="0">Projektplan!$E1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11" l="1"/>
  <c r="E13" i="11"/>
  <c r="G4" i="11" l="1"/>
  <c r="H4" i="11" s="1"/>
  <c r="I4" i="11" s="1"/>
  <c r="J4" i="11" s="1"/>
  <c r="K4" i="11" s="1"/>
  <c r="L4" i="11" s="1"/>
  <c r="M4" i="11" s="1"/>
  <c r="N4" i="11" s="1"/>
  <c r="O4" i="11" s="1"/>
  <c r="P4" i="11" s="1"/>
  <c r="E7" i="11"/>
  <c r="F7" i="11" s="1"/>
  <c r="E20" i="11" l="1"/>
  <c r="F20" i="11" s="1"/>
  <c r="E21" i="11" s="1"/>
  <c r="Q4" i="11"/>
  <c r="R4" i="11" s="1"/>
  <c r="S4" i="11" s="1"/>
  <c r="U4" i="11" s="1"/>
  <c r="V4" i="11" s="1"/>
  <c r="W4" i="11" s="1"/>
  <c r="X4" i="11" s="1"/>
  <c r="Y4" i="11" s="1"/>
  <c r="Z4" i="11" s="1"/>
  <c r="AA4" i="11" s="1"/>
  <c r="E8" i="11"/>
  <c r="E11" i="11" s="1"/>
  <c r="F21" i="11" l="1"/>
  <c r="E22" i="11"/>
  <c r="F8" i="11"/>
  <c r="E9" i="11" s="1"/>
  <c r="E14" i="11"/>
  <c r="F22" i="11" l="1"/>
  <c r="E23" i="11" s="1"/>
  <c r="E24" i="11"/>
  <c r="F24" i="11" s="1"/>
  <c r="F14" i="11"/>
  <c r="E15" i="11" s="1"/>
  <c r="F15" i="11" s="1"/>
  <c r="F13" i="11"/>
  <c r="F11" i="11"/>
  <c r="F9" i="11"/>
  <c r="E10" i="11" s="1"/>
  <c r="F10" i="11" s="1"/>
  <c r="F23" i="11" l="1"/>
  <c r="E16" i="11"/>
  <c r="E17" i="11" s="1"/>
  <c r="F17" i="11" l="1"/>
  <c r="F16" i="11"/>
</calcChain>
</file>

<file path=xl/sharedStrings.xml><?xml version="1.0" encoding="utf-8"?>
<sst xmlns="http://schemas.openxmlformats.org/spreadsheetml/2006/main" count="82" uniqueCount="60">
  <si>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</si>
  <si>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Firmennamen in Zelle B2 ein.</t>
  </si>
  <si>
    <t>Geben Sie den Namen des Projektleiters in Zelle B3 ein. Geben Sie das Startdatum für das Projekt in Zelle E3 ein. Start des Projekts: Die Bezeichnung steht in Zelle C3.</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</si>
  <si>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</si>
  <si>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</si>
  <si>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</si>
  <si>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</si>
  <si>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</si>
  <si>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</si>
  <si>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Titelblock für Beispielphase</t>
  </si>
  <si>
    <t>Dies ist eine leere Zeile.</t>
  </si>
  <si>
    <t>Diese Zeile kennzeichnet das Ende des Projektplans. Geben Sie in dieser Zeile NICHTS EIN. 
Fügen Sie ÜBER dieser Zeile neue Zeilen ein, um mit der Erstellung Ihres Projektplans fortzufahren.</t>
  </si>
  <si>
    <t>PROJEKTTITEL</t>
  </si>
  <si>
    <t>AUFGABE</t>
  </si>
  <si>
    <t>Aufgabe 1</t>
  </si>
  <si>
    <t>Aufgabe 2</t>
  </si>
  <si>
    <t>Aufgabe 3</t>
  </si>
  <si>
    <t>Aufgabe 4</t>
  </si>
  <si>
    <t>Aufgabe 5</t>
  </si>
  <si>
    <t>Phase 4 Titel</t>
  </si>
  <si>
    <t>Neue Zeilen ÜBER dieser einfügen</t>
  </si>
  <si>
    <t>Projektanfang:</t>
  </si>
  <si>
    <t>ZUGEWIESEN
AN</t>
  </si>
  <si>
    <t>FORTSCHRITT</t>
  </si>
  <si>
    <t>START</t>
  </si>
  <si>
    <t>Datum</t>
  </si>
  <si>
    <t>ENDE</t>
  </si>
  <si>
    <t>EINFACHES GANTT-DIAGRAMM von Vertex42.com</t>
  </si>
  <si>
    <t>https://www.vertex42.com/ExcelTemplates/simple-gantt-chart.html</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</si>
  <si>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</si>
  <si>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</si>
  <si>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</si>
  <si>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</si>
  <si>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</si>
  <si>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</si>
  <si>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</si>
  <si>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</si>
  <si>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</si>
  <si>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</si>
  <si>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</si>
  <si>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</si>
  <si>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</si>
  <si>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Projektleiter: Rothfuß C.</t>
  </si>
  <si>
    <t>Konstruktion</t>
  </si>
  <si>
    <t>Konstruktionsskizze</t>
  </si>
  <si>
    <t>Komponenten</t>
  </si>
  <si>
    <t>erste Sensoren und Akktoren aussuchen</t>
  </si>
  <si>
    <t>Sam</t>
  </si>
  <si>
    <t>Elija/ Silas</t>
  </si>
  <si>
    <t>Chris</t>
  </si>
  <si>
    <t>Elija</t>
  </si>
  <si>
    <t>Antriebsmotoren testen (Rad) (Kraft/Drehzahl)</t>
  </si>
  <si>
    <t>Sensoren/Komponenten erfragen</t>
  </si>
  <si>
    <t>Linetracker testen</t>
  </si>
  <si>
    <t>Servo Kipparm Test (Arm drucken) + Gummi</t>
  </si>
  <si>
    <t>CAD Prototyp</t>
  </si>
  <si>
    <t>Prototyp 1 Druck</t>
  </si>
  <si>
    <t>Kostenüberschlag</t>
  </si>
  <si>
    <t>AI-Camera testen (Lichtverhältnisse beachten)</t>
  </si>
  <si>
    <t>Lasten/Pflichten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</si>
</sst>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m/yy;@"/>
  </numFmts>
  <fonts count="3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0"/>
        <bgColor indexed="64"/>
      </patternFill>
    </fill>
    <fill>
      <patternFill patternType="solid">
        <fgColor rgb="FF00B0F0"/>
        <bgColor indexed="64"/>
      </patternFill>
    </fill>
    <fill>
      <patternFill patternType="solid">
        <fgColor theme="9" tint="0.59999389629810485"/>
        <bgColor indexed="64"/>
      </patternFill>
    </fill>
  </fills>
  <borders count="1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tint="-0.34998626667073579"/>
      </bottom>
      <diagonal/>
    </border>
    <border>
      <left style="thin">
        <color theme="0" tint="-0.14993743705557422"/>
      </left>
      <right style="thin">
        <color theme="0" tint="-0.14993743705557422"/>
      </right>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indexed="64"/>
      </right>
      <top style="medium">
        <color theme="0" tint="-0.14996795556505021"/>
      </top>
      <bottom style="medium">
        <color theme="0" tint="-0.14996795556505021"/>
      </bottom>
      <diagonal/>
    </border>
    <border>
      <left/>
      <right style="thin">
        <color theme="0" tint="-0.14993743705557422"/>
      </right>
      <top style="medium">
        <color theme="0" tint="-0.14996795556505021"/>
      </top>
      <bottom/>
      <diagonal/>
    </border>
    <border>
      <left/>
      <right style="thin">
        <color theme="0" tint="-0.14993743705557422"/>
      </right>
      <top/>
      <bottom style="medium">
        <color theme="0" tint="-0.14996795556505021"/>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0" fillId="0" borderId="0"/>
    <xf numFmtId="165" fontId="9" fillId="0" borderId="3" applyFont="0" applyFill="0" applyAlignment="0" applyProtection="0"/>
    <xf numFmtId="0" fontId="11"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3"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4" fillId="0" borderId="0" applyNumberFormat="0" applyFill="0" applyBorder="0" applyAlignment="0" applyProtection="0"/>
    <xf numFmtId="0" fontId="25" fillId="12" borderId="0" applyNumberFormat="0" applyBorder="0" applyAlignment="0" applyProtection="0"/>
    <xf numFmtId="0" fontId="26" fillId="13" borderId="0" applyNumberFormat="0" applyBorder="0" applyAlignment="0" applyProtection="0"/>
    <xf numFmtId="0" fontId="27" fillId="14" borderId="0" applyNumberFormat="0" applyBorder="0" applyAlignment="0" applyProtection="0"/>
    <xf numFmtId="0" fontId="28" fillId="15" borderId="6" applyNumberFormat="0" applyAlignment="0" applyProtection="0"/>
    <xf numFmtId="0" fontId="29" fillId="16" borderId="7" applyNumberFormat="0" applyAlignment="0" applyProtection="0"/>
    <xf numFmtId="0" fontId="30" fillId="16" borderId="6" applyNumberFormat="0" applyAlignment="0" applyProtection="0"/>
    <xf numFmtId="0" fontId="31" fillId="0" borderId="8" applyNumberFormat="0" applyFill="0" applyAlignment="0" applyProtection="0"/>
    <xf numFmtId="0" fontId="32" fillId="17" borderId="9" applyNumberFormat="0" applyAlignment="0" applyProtection="0"/>
    <xf numFmtId="0" fontId="33" fillId="0" borderId="0" applyNumberFormat="0" applyFill="0" applyBorder="0" applyAlignment="0" applyProtection="0"/>
    <xf numFmtId="0" fontId="9" fillId="18" borderId="10" applyNumberFormat="0" applyFont="0" applyAlignment="0" applyProtection="0"/>
    <xf numFmtId="0" fontId="34" fillId="0" borderId="0" applyNumberFormat="0" applyFill="0" applyBorder="0" applyAlignment="0" applyProtection="0"/>
    <xf numFmtId="0" fontId="6" fillId="0" borderId="11" applyNumberFormat="0" applyFill="0" applyAlignment="0" applyProtection="0"/>
    <xf numFmtId="0" fontId="20"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20"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20"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20"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20"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20"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cellStyleXfs>
  <cellXfs count="99">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7" fillId="11" borderId="1" xfId="0" applyFont="1" applyFill="1" applyBorder="1" applyAlignment="1">
      <alignment horizontal="left" vertical="center" indent="1"/>
    </xf>
    <xf numFmtId="0" fontId="7" fillId="11" borderId="1" xfId="0" applyFont="1" applyFill="1" applyBorder="1" applyAlignment="1">
      <alignment horizontal="center" vertical="center" wrapText="1"/>
    </xf>
    <xf numFmtId="0" fontId="12" fillId="0" borderId="0" xfId="0" applyFont="1"/>
    <xf numFmtId="0" fontId="13"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0"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5" xfId="0" applyBorder="1" applyAlignment="1">
      <alignment vertical="center"/>
    </xf>
    <xf numFmtId="0" fontId="0" fillId="2" borderId="5"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4" fillId="0" borderId="0" xfId="0" applyFont="1" applyAlignment="1">
      <alignment horizontal="left" vertical="center"/>
    </xf>
    <xf numFmtId="0" fontId="15" fillId="0" borderId="0" xfId="0" applyFont="1" applyAlignment="1">
      <alignment horizontal="left" vertical="center"/>
    </xf>
    <xf numFmtId="0" fontId="17" fillId="0" borderId="0" xfId="0" applyFont="1"/>
    <xf numFmtId="0" fontId="19" fillId="0" borderId="0" xfId="0" applyFont="1" applyAlignment="1">
      <alignment vertical="center"/>
    </xf>
    <xf numFmtId="0" fontId="18" fillId="0" borderId="0" xfId="0" applyFont="1" applyAlignment="1">
      <alignment horizontal="left" vertical="top" wrapText="1" indent="1"/>
    </xf>
    <xf numFmtId="0" fontId="2" fillId="0" borderId="0" xfId="0" applyFont="1" applyAlignment="1">
      <alignment horizontal="left" vertical="top"/>
    </xf>
    <xf numFmtId="0" fontId="16"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0" fillId="0" borderId="0" xfId="3"/>
    <xf numFmtId="0" fontId="20" fillId="0" borderId="0" xfId="3" applyAlignment="1">
      <alignment wrapText="1"/>
    </xf>
    <xf numFmtId="0" fontId="20" fillId="0" borderId="0" xfId="0" applyFont="1" applyAlignment="1">
      <alignment horizontal="center"/>
    </xf>
    <xf numFmtId="0" fontId="0" fillId="0" borderId="0" xfId="0" applyAlignment="1">
      <alignment wrapText="1"/>
    </xf>
    <xf numFmtId="0" fontId="11" fillId="0" borderId="0" xfId="5" applyAlignment="1">
      <alignment horizontal="left"/>
    </xf>
    <xf numFmtId="0" fontId="9" fillId="7" borderId="2" xfId="11" applyFill="1">
      <alignment horizontal="center" vertical="center"/>
    </xf>
    <xf numFmtId="0" fontId="9" fillId="3" borderId="2" xfId="11" applyFill="1">
      <alignment horizontal="center" vertical="center"/>
    </xf>
    <xf numFmtId="0" fontId="9" fillId="8"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0" borderId="2" xfId="11" applyFill="1">
      <alignment horizontal="center" vertical="center"/>
    </xf>
    <xf numFmtId="0" fontId="9" fillId="5" borderId="2" xfId="11" applyFill="1">
      <alignment horizontal="center" vertical="center"/>
    </xf>
    <xf numFmtId="0" fontId="9" fillId="9"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0" borderId="2" xfId="12" applyFill="1">
      <alignment horizontal="left" vertical="center" indent="2"/>
    </xf>
    <xf numFmtId="0" fontId="9" fillId="9" borderId="2" xfId="12" applyFill="1">
      <alignment horizontal="left" vertical="center" indent="2"/>
    </xf>
    <xf numFmtId="0" fontId="9" fillId="0" borderId="2" xfId="12">
      <alignment horizontal="left" vertical="center" indent="2"/>
    </xf>
    <xf numFmtId="0" fontId="21" fillId="0" borderId="0" xfId="0" applyFont="1"/>
    <xf numFmtId="0" fontId="22" fillId="0" borderId="0" xfId="1" applyFont="1" applyProtection="1">
      <alignment vertical="top"/>
    </xf>
    <xf numFmtId="0" fontId="5" fillId="0" borderId="0" xfId="0" applyFont="1" applyAlignment="1">
      <alignment vertical="top"/>
    </xf>
    <xf numFmtId="166" fontId="0" fillId="7" borderId="2" xfId="0" applyNumberFormat="1" applyFill="1" applyBorder="1" applyAlignment="1">
      <alignment horizontal="center" vertical="center"/>
    </xf>
    <xf numFmtId="166" fontId="5" fillId="7" borderId="2" xfId="0" applyNumberFormat="1" applyFont="1" applyFill="1" applyBorder="1" applyAlignment="1">
      <alignment horizontal="center" vertical="center"/>
    </xf>
    <xf numFmtId="166" fontId="9" fillId="3" borderId="2" xfId="10" applyNumberFormat="1" applyFill="1">
      <alignment horizontal="center" vertical="center"/>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4" borderId="2" xfId="10" applyNumberFormat="1"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0" borderId="2" xfId="10" applyNumberFormat="1"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9" borderId="2" xfId="10" applyNumberFormat="1" applyFill="1">
      <alignment horizontal="center" vertical="center"/>
    </xf>
    <xf numFmtId="166" fontId="9" fillId="0" borderId="2" xfId="10" applyNumberFormat="1">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0" fontId="5" fillId="44" borderId="2" xfId="0" applyFont="1" applyFill="1" applyBorder="1" applyAlignment="1">
      <alignment horizontal="center" vertical="center"/>
    </xf>
    <xf numFmtId="0" fontId="0" fillId="44" borderId="5" xfId="0" applyFill="1" applyBorder="1" applyAlignment="1">
      <alignment vertical="center"/>
    </xf>
    <xf numFmtId="0" fontId="5" fillId="45" borderId="2" xfId="0" applyFont="1" applyFill="1" applyBorder="1" applyAlignment="1">
      <alignment horizontal="center" vertical="center"/>
    </xf>
    <xf numFmtId="0" fontId="0" fillId="0" borderId="13" xfId="0" applyBorder="1" applyAlignment="1">
      <alignment vertical="center"/>
    </xf>
    <xf numFmtId="0" fontId="0" fillId="43" borderId="14" xfId="0" applyFill="1" applyBorder="1" applyAlignment="1">
      <alignment vertical="center"/>
    </xf>
    <xf numFmtId="0" fontId="0" fillId="44" borderId="15" xfId="0" applyFill="1" applyBorder="1" applyAlignment="1">
      <alignment vertical="center"/>
    </xf>
    <xf numFmtId="0" fontId="0" fillId="0" borderId="15" xfId="0" applyBorder="1" applyAlignment="1">
      <alignment vertical="center"/>
    </xf>
    <xf numFmtId="0" fontId="0" fillId="43" borderId="15" xfId="0" applyFill="1" applyBorder="1" applyAlignment="1">
      <alignment vertical="center"/>
    </xf>
    <xf numFmtId="167" fontId="9" fillId="0" borderId="3" xfId="9">
      <alignment horizontal="center" vertical="center"/>
    </xf>
    <xf numFmtId="0" fontId="9" fillId="0" borderId="0" xfId="8">
      <alignment horizontal="right" indent="1"/>
    </xf>
    <xf numFmtId="0" fontId="9" fillId="0" borderId="4" xfId="8" applyBorder="1">
      <alignment horizontal="right" indent="1"/>
    </xf>
    <xf numFmtId="0" fontId="10" fillId="0" borderId="0" xfId="7" applyAlignment="1">
      <alignment horizontal="center" vertical="top" wrapText="1"/>
    </xf>
    <xf numFmtId="0" fontId="10" fillId="0" borderId="12" xfId="7" applyBorder="1" applyAlignment="1">
      <alignment horizontal="center" vertical="top" wrapText="1"/>
    </xf>
    <xf numFmtId="0" fontId="0" fillId="44" borderId="14" xfId="0" applyFill="1" applyBorder="1" applyAlignment="1">
      <alignment vertical="center"/>
    </xf>
    <xf numFmtId="0" fontId="0" fillId="43" borderId="16" xfId="0" applyFill="1" applyBorder="1" applyAlignment="1">
      <alignment vertical="center"/>
    </xf>
    <xf numFmtId="0" fontId="0" fillId="44" borderId="17" xfId="0" applyFill="1" applyBorder="1" applyAlignment="1">
      <alignment vertical="center"/>
    </xf>
    <xf numFmtId="0" fontId="0" fillId="46" borderId="5" xfId="0" applyFill="1" applyBorder="1" applyAlignment="1">
      <alignment vertical="center"/>
    </xf>
    <xf numFmtId="0" fontId="0" fillId="46" borderId="15" xfId="0" applyFill="1" applyBorder="1" applyAlignment="1">
      <alignment vertical="center"/>
    </xf>
    <xf numFmtId="0" fontId="0" fillId="46" borderId="14" xfId="0" applyFill="1" applyBorder="1" applyAlignment="1">
      <alignment vertical="center"/>
    </xf>
    <xf numFmtId="0" fontId="5" fillId="46" borderId="2" xfId="0" applyFont="1" applyFill="1" applyBorder="1" applyAlignment="1">
      <alignment horizontal="center" vertical="center"/>
    </xf>
  </cellXfs>
  <cellStyles count="54">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39">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38"/>
      <tableStyleElement type="headerRow" dxfId="37"/>
      <tableStyleElement type="totalRow" dxfId="36"/>
      <tableStyleElement type="firstColumn" dxfId="35"/>
      <tableStyleElement type="lastColumn" dxfId="34"/>
      <tableStyleElement type="firstRowStripe" dxfId="33"/>
      <tableStyleElement type="secondRowStripe" dxfId="32"/>
      <tableStyleElement type="firstColumnStripe" dxfId="31"/>
      <tableStyleElement type="secondColumnStripe" dxfId="3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A35"/>
  <sheetViews>
    <sheetView showGridLines="0" tabSelected="1" showRuler="0" zoomScaleNormal="100" zoomScalePageLayoutView="70" workbookViewId="0">
      <pane ySplit="4" topLeftCell="A11" activePane="bottomLeft" state="frozen"/>
      <selection pane="bottomLeft" activeCell="B15" sqref="B15"/>
    </sheetView>
  </sheetViews>
  <sheetFormatPr baseColWidth="10" defaultColWidth="9.109375" defaultRowHeight="30" customHeight="1" x14ac:dyDescent="0.3"/>
  <cols>
    <col min="1" max="1" width="2.77734375" style="42" customWidth="1"/>
    <col min="2" max="2" width="41.77734375" bestFit="1" customWidth="1"/>
    <col min="3" max="3" width="12.77734375" customWidth="1"/>
    <col min="4" max="4" width="10.77734375" customWidth="1"/>
    <col min="5" max="5" width="10.44140625" style="5" customWidth="1"/>
    <col min="6" max="6" width="10.44140625" customWidth="1"/>
    <col min="7" max="27" width="4.5546875" customWidth="1"/>
    <col min="32" max="33" width="10.21875"/>
  </cols>
  <sheetData>
    <row r="1" spans="1:27" ht="30" customHeight="1" x14ac:dyDescent="0.55000000000000004">
      <c r="A1" s="43" t="s">
        <v>0</v>
      </c>
      <c r="B1" s="46" t="s">
        <v>12</v>
      </c>
      <c r="C1" s="1"/>
      <c r="D1" s="2"/>
      <c r="E1" s="4"/>
      <c r="F1" s="31"/>
      <c r="H1" s="61" t="s">
        <v>27</v>
      </c>
    </row>
    <row r="2" spans="1:27" ht="27.6" customHeight="1" x14ac:dyDescent="0.3">
      <c r="A2" s="42" t="s">
        <v>1</v>
      </c>
      <c r="B2" s="90" t="s">
        <v>42</v>
      </c>
      <c r="H2" s="62" t="s">
        <v>28</v>
      </c>
    </row>
    <row r="3" spans="1:27" ht="30" customHeight="1" x14ac:dyDescent="0.3">
      <c r="A3" s="42" t="s">
        <v>2</v>
      </c>
      <c r="B3" s="91"/>
      <c r="C3" s="88" t="s">
        <v>21</v>
      </c>
      <c r="D3" s="89"/>
      <c r="E3" s="87">
        <v>46314</v>
      </c>
      <c r="F3" s="87"/>
    </row>
    <row r="4" spans="1:27" ht="30" customHeight="1" thickBot="1" x14ac:dyDescent="0.35">
      <c r="A4" s="43" t="s">
        <v>3</v>
      </c>
      <c r="B4" s="7" t="s">
        <v>13</v>
      </c>
      <c r="C4" s="8" t="s">
        <v>22</v>
      </c>
      <c r="D4" s="8" t="s">
        <v>23</v>
      </c>
      <c r="E4" s="8" t="s">
        <v>24</v>
      </c>
      <c r="F4" s="8" t="s">
        <v>26</v>
      </c>
      <c r="G4" s="8">
        <f>WEEKNUM(Projektanfang)</f>
        <v>43</v>
      </c>
      <c r="H4" s="8">
        <f>G4+1</f>
        <v>44</v>
      </c>
      <c r="I4" s="8">
        <f t="shared" ref="I4:AA4" si="0">H4+1</f>
        <v>45</v>
      </c>
      <c r="J4" s="8">
        <f t="shared" si="0"/>
        <v>46</v>
      </c>
      <c r="K4" s="8">
        <f t="shared" si="0"/>
        <v>47</v>
      </c>
      <c r="L4" s="8">
        <f t="shared" si="0"/>
        <v>48</v>
      </c>
      <c r="M4" s="8">
        <f t="shared" si="0"/>
        <v>49</v>
      </c>
      <c r="N4" s="8">
        <f t="shared" si="0"/>
        <v>50</v>
      </c>
      <c r="O4" s="8">
        <f t="shared" si="0"/>
        <v>51</v>
      </c>
      <c r="P4" s="8">
        <f t="shared" si="0"/>
        <v>52</v>
      </c>
      <c r="Q4" s="8">
        <f t="shared" si="0"/>
        <v>53</v>
      </c>
      <c r="R4" s="8">
        <f>Q4+1</f>
        <v>54</v>
      </c>
      <c r="S4" s="8">
        <f t="shared" si="0"/>
        <v>55</v>
      </c>
      <c r="T4" s="8">
        <f>1</f>
        <v>1</v>
      </c>
      <c r="U4" s="8">
        <f t="shared" si="0"/>
        <v>2</v>
      </c>
      <c r="V4" s="8">
        <f t="shared" si="0"/>
        <v>3</v>
      </c>
      <c r="W4" s="8">
        <f t="shared" si="0"/>
        <v>4</v>
      </c>
      <c r="X4" s="8">
        <f t="shared" si="0"/>
        <v>5</v>
      </c>
      <c r="Y4" s="8">
        <f t="shared" si="0"/>
        <v>6</v>
      </c>
      <c r="Z4" s="8">
        <f t="shared" si="0"/>
        <v>7</v>
      </c>
      <c r="AA4" s="8">
        <f t="shared" si="0"/>
        <v>8</v>
      </c>
    </row>
    <row r="5" spans="1:27" ht="30" hidden="1" customHeight="1" thickBot="1" x14ac:dyDescent="0.35">
      <c r="A5" s="42" t="s">
        <v>4</v>
      </c>
      <c r="C5" s="45"/>
      <c r="E5"/>
      <c r="H5" s="29"/>
      <c r="I5" s="29"/>
      <c r="J5" s="29"/>
      <c r="K5" s="29"/>
      <c r="L5" s="29"/>
      <c r="M5" s="29"/>
      <c r="N5" s="29"/>
      <c r="O5" s="29"/>
      <c r="P5" s="29"/>
      <c r="Q5" s="29"/>
      <c r="R5" s="29"/>
      <c r="S5" s="29"/>
      <c r="T5" s="29"/>
      <c r="U5" s="29"/>
      <c r="V5" s="29"/>
      <c r="W5" s="29"/>
      <c r="X5" s="29"/>
      <c r="Y5" s="29"/>
      <c r="Z5" s="29"/>
      <c r="AA5" s="29"/>
    </row>
    <row r="6" spans="1:27" s="3" customFormat="1" ht="30" customHeight="1" thickBot="1" x14ac:dyDescent="0.35">
      <c r="A6" s="43" t="s">
        <v>5</v>
      </c>
      <c r="B6" s="13" t="s">
        <v>43</v>
      </c>
      <c r="C6" s="47"/>
      <c r="D6" s="14"/>
      <c r="E6" s="64">
        <v>46300</v>
      </c>
      <c r="F6" s="65">
        <v>46332</v>
      </c>
      <c r="G6" s="79"/>
      <c r="H6" s="80"/>
      <c r="I6" s="84"/>
      <c r="J6" s="92"/>
      <c r="K6" s="80"/>
      <c r="L6" s="80"/>
      <c r="M6" s="84"/>
      <c r="N6" s="92"/>
      <c r="O6" s="80"/>
      <c r="P6" s="80"/>
      <c r="Q6" s="80"/>
      <c r="R6" s="80"/>
      <c r="S6" s="80"/>
      <c r="T6" s="80"/>
      <c r="U6" s="84"/>
      <c r="V6" s="92"/>
      <c r="W6" s="80"/>
      <c r="X6" s="80"/>
      <c r="Y6" s="80"/>
      <c r="Z6" s="80"/>
      <c r="AA6" s="29"/>
    </row>
    <row r="7" spans="1:27" s="3" customFormat="1" ht="30" customHeight="1" thickBot="1" x14ac:dyDescent="0.35">
      <c r="A7" s="43" t="s">
        <v>6</v>
      </c>
      <c r="B7" s="56" t="s">
        <v>44</v>
      </c>
      <c r="C7" s="48" t="s">
        <v>48</v>
      </c>
      <c r="D7" s="15">
        <v>0.5</v>
      </c>
      <c r="E7" s="66">
        <f>Projektanfang</f>
        <v>46314</v>
      </c>
      <c r="F7" s="66">
        <f>E7+7</f>
        <v>46321</v>
      </c>
      <c r="G7" s="81"/>
      <c r="H7" s="81"/>
      <c r="I7" s="85"/>
      <c r="J7" s="92"/>
      <c r="K7" s="80"/>
      <c r="L7" s="80"/>
      <c r="M7" s="84"/>
      <c r="N7" s="92"/>
      <c r="O7" s="80"/>
      <c r="P7" s="80"/>
      <c r="Q7" s="80"/>
      <c r="R7" s="80"/>
      <c r="S7" s="80"/>
      <c r="T7" s="80"/>
      <c r="U7" s="84"/>
      <c r="V7" s="92"/>
      <c r="W7" s="80"/>
      <c r="X7" s="80"/>
      <c r="Y7" s="80"/>
      <c r="Z7" s="80"/>
      <c r="AA7" s="29"/>
    </row>
    <row r="8" spans="1:27" s="3" customFormat="1" ht="30" customHeight="1" thickBot="1" x14ac:dyDescent="0.35">
      <c r="A8" s="43" t="s">
        <v>7</v>
      </c>
      <c r="B8" s="56" t="s">
        <v>55</v>
      </c>
      <c r="C8" s="48" t="s">
        <v>48</v>
      </c>
      <c r="D8" s="15">
        <v>0.6</v>
      </c>
      <c r="E8" s="66">
        <f>F7</f>
        <v>46321</v>
      </c>
      <c r="F8" s="66">
        <f>E8+2</f>
        <v>46323</v>
      </c>
      <c r="G8" s="12"/>
      <c r="H8" s="29"/>
      <c r="I8" s="81"/>
      <c r="J8" s="81"/>
      <c r="K8" s="81"/>
      <c r="L8" s="80"/>
      <c r="M8" s="84"/>
      <c r="N8" s="92"/>
      <c r="O8" s="80"/>
      <c r="P8" s="80"/>
      <c r="Q8" s="80"/>
      <c r="R8" s="80"/>
      <c r="S8" s="80"/>
      <c r="T8" s="80"/>
      <c r="U8" s="84"/>
      <c r="V8" s="92"/>
      <c r="W8" s="80"/>
      <c r="X8" s="80"/>
      <c r="Y8" s="80"/>
      <c r="Z8" s="80"/>
      <c r="AA8" s="29"/>
    </row>
    <row r="9" spans="1:27" s="3" customFormat="1" ht="30" customHeight="1" thickBot="1" x14ac:dyDescent="0.35">
      <c r="A9" s="42"/>
      <c r="B9" s="56" t="s">
        <v>56</v>
      </c>
      <c r="C9" s="48" t="s">
        <v>48</v>
      </c>
      <c r="D9" s="15">
        <v>0.5</v>
      </c>
      <c r="E9" s="66">
        <f>F8</f>
        <v>46323</v>
      </c>
      <c r="F9" s="66">
        <f>E9+4</f>
        <v>46327</v>
      </c>
      <c r="G9" s="12"/>
      <c r="H9" s="29"/>
      <c r="I9" s="85"/>
      <c r="J9" s="92"/>
      <c r="K9" s="80"/>
      <c r="L9" s="81"/>
      <c r="M9" s="84"/>
      <c r="N9" s="92"/>
      <c r="O9" s="80"/>
      <c r="P9" s="80"/>
      <c r="Q9" s="80"/>
      <c r="R9" s="80"/>
      <c r="S9" s="80"/>
      <c r="T9" s="80"/>
      <c r="U9" s="84"/>
      <c r="V9" s="92"/>
      <c r="W9" s="80"/>
      <c r="X9" s="80"/>
      <c r="Y9" s="80"/>
      <c r="Z9" s="80"/>
      <c r="AA9" s="29"/>
    </row>
    <row r="10" spans="1:27" s="3" customFormat="1" ht="30" customHeight="1" thickBot="1" x14ac:dyDescent="0.35">
      <c r="A10" s="42"/>
      <c r="B10" s="56" t="s">
        <v>17</v>
      </c>
      <c r="C10" s="48"/>
      <c r="D10" s="15">
        <v>0.25</v>
      </c>
      <c r="E10" s="66">
        <f>F9</f>
        <v>46327</v>
      </c>
      <c r="F10" s="66">
        <f>E10+5</f>
        <v>46332</v>
      </c>
      <c r="G10" s="12"/>
      <c r="H10" s="29"/>
      <c r="I10" s="85"/>
      <c r="J10" s="92"/>
      <c r="K10" s="80"/>
      <c r="L10" s="80"/>
      <c r="M10" s="84"/>
      <c r="N10" s="92"/>
      <c r="O10" s="80"/>
      <c r="P10" s="80"/>
      <c r="Q10" s="80"/>
      <c r="R10" s="80"/>
      <c r="S10" s="80"/>
      <c r="T10" s="80"/>
      <c r="U10" s="84"/>
      <c r="V10" s="92"/>
      <c r="W10" s="80"/>
      <c r="X10" s="80"/>
      <c r="Y10" s="80"/>
      <c r="Z10" s="80"/>
      <c r="AA10" s="29"/>
    </row>
    <row r="11" spans="1:27" s="3" customFormat="1" ht="30" customHeight="1" thickBot="1" x14ac:dyDescent="0.35">
      <c r="A11" s="42"/>
      <c r="B11" s="56" t="s">
        <v>18</v>
      </c>
      <c r="C11" s="48"/>
      <c r="D11" s="15"/>
      <c r="E11" s="66">
        <f>E8+1</f>
        <v>46322</v>
      </c>
      <c r="F11" s="66">
        <f>E11+2</f>
        <v>46324</v>
      </c>
      <c r="G11" s="12"/>
      <c r="H11" s="29"/>
      <c r="I11" s="85"/>
      <c r="J11" s="92"/>
      <c r="K11" s="80"/>
      <c r="L11" s="80"/>
      <c r="M11" s="84"/>
      <c r="N11" s="92"/>
      <c r="O11" s="80"/>
      <c r="P11" s="80"/>
      <c r="Q11" s="80"/>
      <c r="R11" s="80"/>
      <c r="S11" s="80"/>
      <c r="T11" s="80"/>
      <c r="U11" s="84"/>
      <c r="V11" s="92"/>
      <c r="W11" s="80"/>
      <c r="X11" s="80"/>
      <c r="Y11" s="80"/>
      <c r="Z11" s="80"/>
      <c r="AA11" s="29"/>
    </row>
    <row r="12" spans="1:27" s="3" customFormat="1" ht="30" customHeight="1" thickBot="1" x14ac:dyDescent="0.35">
      <c r="A12" s="43" t="s">
        <v>8</v>
      </c>
      <c r="B12" s="16" t="s">
        <v>45</v>
      </c>
      <c r="C12" s="49"/>
      <c r="D12" s="17"/>
      <c r="E12" s="67"/>
      <c r="F12" s="68"/>
      <c r="G12" s="12"/>
      <c r="H12" s="29"/>
      <c r="I12" s="85"/>
      <c r="J12" s="92"/>
      <c r="K12" s="80"/>
      <c r="L12" s="80"/>
      <c r="M12" s="84"/>
      <c r="N12" s="92"/>
      <c r="O12" s="80"/>
      <c r="P12" s="80"/>
      <c r="Q12" s="80"/>
      <c r="R12" s="80"/>
      <c r="S12" s="80"/>
      <c r="T12" s="80"/>
      <c r="U12" s="84"/>
      <c r="V12" s="92"/>
      <c r="W12" s="80"/>
      <c r="X12" s="80"/>
      <c r="Y12" s="80"/>
      <c r="Z12" s="80"/>
      <c r="AA12" s="29"/>
    </row>
    <row r="13" spans="1:27" s="3" customFormat="1" ht="30" customHeight="1" thickBot="1" x14ac:dyDescent="0.35">
      <c r="A13" s="43"/>
      <c r="B13" s="57" t="s">
        <v>46</v>
      </c>
      <c r="C13" s="50" t="s">
        <v>47</v>
      </c>
      <c r="D13" s="18">
        <v>0.5</v>
      </c>
      <c r="E13" s="69">
        <f>E3</f>
        <v>46314</v>
      </c>
      <c r="F13" s="69">
        <f>E13+4</f>
        <v>46318</v>
      </c>
      <c r="G13" s="83"/>
      <c r="H13" s="29"/>
      <c r="I13" s="85"/>
      <c r="J13" s="92"/>
      <c r="K13" s="80"/>
      <c r="L13" s="80"/>
      <c r="M13" s="84"/>
      <c r="N13" s="92"/>
      <c r="O13" s="80"/>
      <c r="P13" s="80"/>
      <c r="Q13" s="80"/>
      <c r="R13" s="80"/>
      <c r="S13" s="80"/>
      <c r="T13" s="80"/>
      <c r="U13" s="84"/>
      <c r="V13" s="92"/>
      <c r="W13" s="80"/>
      <c r="X13" s="80"/>
      <c r="Y13" s="80"/>
      <c r="Z13" s="80"/>
      <c r="AA13" s="29"/>
    </row>
    <row r="14" spans="1:27" s="3" customFormat="1" ht="30" customHeight="1" thickBot="1" x14ac:dyDescent="0.35">
      <c r="A14" s="42"/>
      <c r="B14" s="57" t="s">
        <v>54</v>
      </c>
      <c r="C14" s="50" t="s">
        <v>48</v>
      </c>
      <c r="D14" s="18">
        <v>0.5</v>
      </c>
      <c r="E14" s="69">
        <f>E13+2</f>
        <v>46316</v>
      </c>
      <c r="F14" s="69">
        <f>E14+5</f>
        <v>46321</v>
      </c>
      <c r="G14" s="83"/>
      <c r="H14" s="83"/>
      <c r="I14" s="85"/>
      <c r="J14" s="92"/>
      <c r="K14" s="80"/>
      <c r="L14" s="80"/>
      <c r="M14" s="84"/>
      <c r="N14" s="92"/>
      <c r="O14" s="80"/>
      <c r="P14" s="80"/>
      <c r="Q14" s="80"/>
      <c r="R14" s="80"/>
      <c r="S14" s="80"/>
      <c r="T14" s="80"/>
      <c r="U14" s="84"/>
      <c r="V14" s="92"/>
      <c r="W14" s="80"/>
      <c r="X14" s="80"/>
      <c r="Y14" s="80"/>
      <c r="Z14" s="80"/>
      <c r="AA14" s="29"/>
    </row>
    <row r="15" spans="1:27" s="3" customFormat="1" ht="30" customHeight="1" thickBot="1" x14ac:dyDescent="0.35">
      <c r="A15" s="42"/>
      <c r="B15" s="57" t="s">
        <v>52</v>
      </c>
      <c r="C15" s="50" t="s">
        <v>47</v>
      </c>
      <c r="D15" s="18"/>
      <c r="E15" s="69">
        <f>F14</f>
        <v>46321</v>
      </c>
      <c r="F15" s="69">
        <f>E15+3</f>
        <v>46324</v>
      </c>
      <c r="G15" s="12"/>
      <c r="H15" s="83"/>
      <c r="I15" s="85"/>
      <c r="J15" s="92"/>
      <c r="K15" s="80"/>
      <c r="L15" s="80"/>
      <c r="M15" s="84"/>
      <c r="N15" s="92"/>
      <c r="O15" s="80"/>
      <c r="P15" s="80"/>
      <c r="Q15" s="80"/>
      <c r="R15" s="80"/>
      <c r="S15" s="80"/>
      <c r="T15" s="80"/>
      <c r="U15" s="84"/>
      <c r="V15" s="92"/>
      <c r="W15" s="80"/>
      <c r="X15" s="80"/>
      <c r="Y15" s="80"/>
      <c r="Z15" s="80"/>
      <c r="AA15" s="29"/>
    </row>
    <row r="16" spans="1:27" s="3" customFormat="1" ht="30" customHeight="1" thickBot="1" x14ac:dyDescent="0.35">
      <c r="A16" s="42"/>
      <c r="B16" s="57" t="s">
        <v>51</v>
      </c>
      <c r="C16" s="50" t="s">
        <v>50</v>
      </c>
      <c r="D16" s="18"/>
      <c r="E16" s="69">
        <f>E15</f>
        <v>46321</v>
      </c>
      <c r="F16" s="69">
        <f>E16+2</f>
        <v>46323</v>
      </c>
      <c r="G16" s="12"/>
      <c r="H16" s="29"/>
      <c r="I16" s="86"/>
      <c r="J16" s="92"/>
      <c r="K16" s="80"/>
      <c r="L16" s="80"/>
      <c r="M16" s="84"/>
      <c r="N16" s="92"/>
      <c r="O16" s="80"/>
      <c r="P16" s="80"/>
      <c r="Q16" s="80"/>
      <c r="R16" s="80"/>
      <c r="S16" s="80"/>
      <c r="T16" s="80"/>
      <c r="U16" s="84"/>
      <c r="V16" s="92"/>
      <c r="W16" s="80"/>
      <c r="X16" s="80"/>
      <c r="Y16" s="80"/>
      <c r="Z16" s="80"/>
      <c r="AA16" s="29"/>
    </row>
    <row r="17" spans="1:27" s="3" customFormat="1" ht="30" customHeight="1" thickBot="1" x14ac:dyDescent="0.35">
      <c r="A17" s="42"/>
      <c r="B17" s="57" t="s">
        <v>53</v>
      </c>
      <c r="C17" s="50"/>
      <c r="D17" s="18"/>
      <c r="E17" s="69">
        <f>E16</f>
        <v>46321</v>
      </c>
      <c r="F17" s="69">
        <f>E17+3</f>
        <v>46324</v>
      </c>
      <c r="G17" s="12"/>
      <c r="H17" s="29"/>
      <c r="I17" s="86"/>
      <c r="J17" s="93"/>
      <c r="K17" s="80"/>
      <c r="L17" s="80"/>
      <c r="M17" s="84"/>
      <c r="N17" s="92"/>
      <c r="O17" s="80"/>
      <c r="P17" s="80"/>
      <c r="Q17" s="80"/>
      <c r="R17" s="80"/>
      <c r="S17" s="80"/>
      <c r="T17" s="80"/>
      <c r="U17" s="84"/>
      <c r="V17" s="92"/>
      <c r="W17" s="80"/>
      <c r="X17" s="80"/>
      <c r="Y17" s="80"/>
      <c r="Z17" s="80"/>
      <c r="AA17" s="29"/>
    </row>
    <row r="18" spans="1:27" s="3" customFormat="1" ht="30" customHeight="1" thickBot="1" x14ac:dyDescent="0.35">
      <c r="A18" s="42"/>
      <c r="B18" s="57" t="s">
        <v>58</v>
      </c>
      <c r="C18" s="50"/>
      <c r="D18" s="18"/>
      <c r="E18" s="69"/>
      <c r="F18" s="69"/>
      <c r="G18" s="12"/>
      <c r="H18" s="29"/>
      <c r="I18" s="86"/>
      <c r="J18" s="83"/>
      <c r="K18" s="83"/>
      <c r="L18" s="80"/>
      <c r="M18" s="84"/>
      <c r="N18" s="92"/>
      <c r="O18" s="80"/>
      <c r="P18" s="80"/>
      <c r="Q18" s="80"/>
      <c r="R18" s="80"/>
      <c r="S18" s="80"/>
      <c r="T18" s="80"/>
      <c r="U18" s="84"/>
      <c r="V18" s="92"/>
      <c r="W18" s="80"/>
      <c r="X18" s="80"/>
      <c r="Y18" s="80"/>
      <c r="Z18" s="80"/>
      <c r="AA18" s="29"/>
    </row>
    <row r="19" spans="1:27" s="3" customFormat="1" ht="30" customHeight="1" thickBot="1" x14ac:dyDescent="0.35">
      <c r="A19" s="42" t="s">
        <v>9</v>
      </c>
      <c r="B19" s="19"/>
      <c r="C19" s="51"/>
      <c r="D19" s="20"/>
      <c r="E19" s="70"/>
      <c r="F19" s="71"/>
      <c r="G19" s="12"/>
      <c r="H19" s="29"/>
      <c r="I19" s="85"/>
      <c r="J19" s="94"/>
      <c r="K19" s="80"/>
      <c r="L19" s="80"/>
      <c r="M19" s="84"/>
      <c r="N19" s="92"/>
      <c r="O19" s="80"/>
      <c r="P19" s="80"/>
      <c r="Q19" s="80"/>
      <c r="R19" s="80"/>
      <c r="S19" s="80"/>
      <c r="T19" s="80"/>
      <c r="U19" s="84"/>
      <c r="V19" s="92"/>
      <c r="W19" s="80"/>
      <c r="X19" s="80"/>
      <c r="Y19" s="80"/>
      <c r="Z19" s="80"/>
      <c r="AA19" s="29"/>
    </row>
    <row r="20" spans="1:27" s="3" customFormat="1" ht="30" customHeight="1" thickBot="1" x14ac:dyDescent="0.35">
      <c r="A20" s="42"/>
      <c r="B20" s="58" t="s">
        <v>57</v>
      </c>
      <c r="C20" s="52" t="s">
        <v>49</v>
      </c>
      <c r="D20" s="21"/>
      <c r="E20" s="72">
        <f>E7+15</f>
        <v>46329</v>
      </c>
      <c r="F20" s="72">
        <f>E20+5</f>
        <v>46334</v>
      </c>
      <c r="G20" s="12"/>
      <c r="H20" s="95"/>
      <c r="I20" s="96"/>
      <c r="J20" s="97"/>
      <c r="K20" s="80"/>
      <c r="L20" s="80"/>
      <c r="M20" s="84"/>
      <c r="N20" s="92"/>
      <c r="O20" s="80"/>
      <c r="P20" s="80"/>
      <c r="Q20" s="80"/>
      <c r="R20" s="80"/>
      <c r="S20" s="80"/>
      <c r="T20" s="80"/>
      <c r="U20" s="84"/>
      <c r="V20" s="92"/>
      <c r="W20" s="80"/>
      <c r="X20" s="80"/>
      <c r="Y20" s="80"/>
      <c r="Z20" s="80"/>
      <c r="AA20" s="29"/>
    </row>
    <row r="21" spans="1:27" s="3" customFormat="1" ht="30" customHeight="1" thickBot="1" x14ac:dyDescent="0.35">
      <c r="A21" s="42"/>
      <c r="B21" s="58" t="s">
        <v>59</v>
      </c>
      <c r="C21" s="52" t="s">
        <v>49</v>
      </c>
      <c r="D21" s="21"/>
      <c r="E21" s="72">
        <f>F20+1</f>
        <v>46335</v>
      </c>
      <c r="F21" s="72">
        <f>E21+4</f>
        <v>46339</v>
      </c>
      <c r="G21" s="98"/>
      <c r="H21" s="95"/>
      <c r="I21" s="96"/>
      <c r="J21" s="92"/>
      <c r="K21" s="80"/>
      <c r="L21" s="80"/>
      <c r="M21" s="84"/>
      <c r="N21" s="92"/>
      <c r="O21" s="80"/>
      <c r="P21" s="80"/>
      <c r="Q21" s="80"/>
      <c r="R21" s="80"/>
      <c r="S21" s="80"/>
      <c r="T21" s="80"/>
      <c r="U21" s="84"/>
      <c r="V21" s="92"/>
      <c r="W21" s="80"/>
      <c r="X21" s="80"/>
      <c r="Y21" s="80"/>
      <c r="Z21" s="80"/>
      <c r="AA21" s="29"/>
    </row>
    <row r="22" spans="1:27" s="3" customFormat="1" ht="30" customHeight="1" thickBot="1" x14ac:dyDescent="0.35">
      <c r="A22" s="42"/>
      <c r="B22" s="58" t="s">
        <v>16</v>
      </c>
      <c r="C22" s="52"/>
      <c r="D22" s="21"/>
      <c r="E22" s="72">
        <f>E21+5</f>
        <v>46340</v>
      </c>
      <c r="F22" s="72">
        <f>E22+5</f>
        <v>46345</v>
      </c>
      <c r="G22" s="12"/>
      <c r="H22" s="29"/>
      <c r="I22" s="85"/>
      <c r="J22" s="92"/>
      <c r="K22" s="80"/>
      <c r="L22" s="80"/>
      <c r="M22" s="84"/>
      <c r="N22" s="92"/>
      <c r="O22" s="80"/>
      <c r="P22" s="80"/>
      <c r="Q22" s="80"/>
      <c r="R22" s="80"/>
      <c r="S22" s="80"/>
      <c r="T22" s="80"/>
      <c r="U22" s="84"/>
      <c r="V22" s="92"/>
      <c r="W22" s="80"/>
      <c r="X22" s="80"/>
      <c r="Y22" s="80"/>
      <c r="Z22" s="80"/>
      <c r="AA22" s="29"/>
    </row>
    <row r="23" spans="1:27" s="3" customFormat="1" ht="30" customHeight="1" thickBot="1" x14ac:dyDescent="0.35">
      <c r="A23" s="42"/>
      <c r="B23" s="58" t="s">
        <v>17</v>
      </c>
      <c r="C23" s="52"/>
      <c r="D23" s="21"/>
      <c r="E23" s="72">
        <f>F22+1</f>
        <v>46346</v>
      </c>
      <c r="F23" s="72">
        <f>E23+4</f>
        <v>46350</v>
      </c>
      <c r="G23" s="12"/>
      <c r="H23" s="29"/>
      <c r="I23" s="85"/>
      <c r="J23" s="92"/>
      <c r="K23" s="80"/>
      <c r="L23" s="80"/>
      <c r="M23" s="84"/>
      <c r="N23" s="92"/>
      <c r="O23" s="80"/>
      <c r="P23" s="80"/>
      <c r="Q23" s="80"/>
      <c r="R23" s="80"/>
      <c r="S23" s="80"/>
      <c r="T23" s="80"/>
      <c r="U23" s="84"/>
      <c r="V23" s="92"/>
      <c r="W23" s="80"/>
      <c r="X23" s="80"/>
      <c r="Y23" s="80"/>
      <c r="Z23" s="80"/>
      <c r="AA23" s="29"/>
    </row>
    <row r="24" spans="1:27" s="3" customFormat="1" ht="30" customHeight="1" thickBot="1" x14ac:dyDescent="0.35">
      <c r="A24" s="42"/>
      <c r="B24" s="58" t="s">
        <v>18</v>
      </c>
      <c r="C24" s="52"/>
      <c r="D24" s="21"/>
      <c r="E24" s="72">
        <f>E22</f>
        <v>46340</v>
      </c>
      <c r="F24" s="72">
        <f>E24+4</f>
        <v>46344</v>
      </c>
      <c r="G24" s="12"/>
      <c r="H24" s="29"/>
      <c r="I24" s="85"/>
      <c r="J24" s="92"/>
      <c r="K24" s="80"/>
      <c r="L24" s="80"/>
      <c r="M24" s="84"/>
      <c r="N24" s="92"/>
      <c r="O24" s="80"/>
      <c r="P24" s="80"/>
      <c r="Q24" s="80"/>
      <c r="R24" s="80"/>
      <c r="S24" s="80"/>
      <c r="T24" s="80"/>
      <c r="U24" s="84"/>
      <c r="V24" s="92"/>
      <c r="W24" s="80"/>
      <c r="X24" s="80"/>
      <c r="Y24" s="80"/>
      <c r="Z24" s="80"/>
      <c r="AA24" s="29"/>
    </row>
    <row r="25" spans="1:27" s="3" customFormat="1" ht="30" customHeight="1" thickBot="1" x14ac:dyDescent="0.35">
      <c r="A25" s="42" t="s">
        <v>9</v>
      </c>
      <c r="B25" s="22" t="s">
        <v>19</v>
      </c>
      <c r="C25" s="53"/>
      <c r="D25" s="23"/>
      <c r="E25" s="73"/>
      <c r="F25" s="74"/>
      <c r="G25" s="12"/>
      <c r="H25" s="29"/>
      <c r="I25" s="85"/>
      <c r="J25" s="92"/>
      <c r="K25" s="80"/>
      <c r="L25" s="80"/>
      <c r="M25" s="84"/>
      <c r="N25" s="92"/>
      <c r="O25" s="80"/>
      <c r="P25" s="80"/>
      <c r="Q25" s="80"/>
      <c r="R25" s="80"/>
      <c r="S25" s="80"/>
      <c r="T25" s="80"/>
      <c r="U25" s="84"/>
      <c r="V25" s="92"/>
      <c r="W25" s="80"/>
      <c r="X25" s="80"/>
      <c r="Y25" s="80"/>
      <c r="Z25" s="80"/>
      <c r="AA25" s="29"/>
    </row>
    <row r="26" spans="1:27" s="3" customFormat="1" ht="30" customHeight="1" thickBot="1" x14ac:dyDescent="0.35">
      <c r="A26" s="42"/>
      <c r="B26" s="59" t="s">
        <v>14</v>
      </c>
      <c r="C26" s="54"/>
      <c r="D26" s="24"/>
      <c r="E26" s="75" t="s">
        <v>25</v>
      </c>
      <c r="F26" s="75" t="s">
        <v>25</v>
      </c>
      <c r="G26" s="12"/>
      <c r="H26" s="29"/>
      <c r="I26" s="85"/>
      <c r="J26" s="92"/>
      <c r="K26" s="80"/>
      <c r="L26" s="80"/>
      <c r="M26" s="84"/>
      <c r="N26" s="92"/>
      <c r="O26" s="80"/>
      <c r="P26" s="80"/>
      <c r="Q26" s="80"/>
      <c r="R26" s="80"/>
      <c r="S26" s="80"/>
      <c r="T26" s="80"/>
      <c r="U26" s="84"/>
      <c r="V26" s="92"/>
      <c r="W26" s="80"/>
      <c r="X26" s="80"/>
      <c r="Y26" s="80"/>
      <c r="Z26" s="80"/>
      <c r="AA26" s="29"/>
    </row>
    <row r="27" spans="1:27" s="3" customFormat="1" ht="30" customHeight="1" thickBot="1" x14ac:dyDescent="0.35">
      <c r="A27" s="42"/>
      <c r="B27" s="59" t="s">
        <v>15</v>
      </c>
      <c r="C27" s="54"/>
      <c r="D27" s="24"/>
      <c r="E27" s="75" t="s">
        <v>25</v>
      </c>
      <c r="F27" s="75" t="s">
        <v>25</v>
      </c>
      <c r="G27" s="12"/>
      <c r="H27" s="29"/>
      <c r="I27" s="85"/>
      <c r="J27" s="92"/>
      <c r="K27" s="80"/>
      <c r="L27" s="80"/>
      <c r="M27" s="84"/>
      <c r="N27" s="92"/>
      <c r="O27" s="80"/>
      <c r="P27" s="80"/>
      <c r="Q27" s="80"/>
      <c r="R27" s="80"/>
      <c r="S27" s="80"/>
      <c r="T27" s="80"/>
      <c r="U27" s="84"/>
      <c r="V27" s="92"/>
      <c r="W27" s="80"/>
      <c r="X27" s="80"/>
      <c r="Y27" s="80"/>
      <c r="Z27" s="80"/>
      <c r="AA27" s="29"/>
    </row>
    <row r="28" spans="1:27" s="3" customFormat="1" ht="30" customHeight="1" thickBot="1" x14ac:dyDescent="0.35">
      <c r="A28" s="42"/>
      <c r="B28" s="59" t="s">
        <v>16</v>
      </c>
      <c r="C28" s="54"/>
      <c r="D28" s="24"/>
      <c r="E28" s="75" t="s">
        <v>25</v>
      </c>
      <c r="F28" s="75" t="s">
        <v>25</v>
      </c>
      <c r="G28" s="12"/>
      <c r="H28" s="29"/>
      <c r="I28" s="85"/>
      <c r="J28" s="92"/>
      <c r="K28" s="80"/>
      <c r="L28" s="80"/>
      <c r="M28" s="84"/>
      <c r="N28" s="92"/>
      <c r="O28" s="80"/>
      <c r="P28" s="80"/>
      <c r="Q28" s="80"/>
      <c r="R28" s="80"/>
      <c r="S28" s="80"/>
      <c r="T28" s="80"/>
      <c r="U28" s="84"/>
      <c r="V28" s="92"/>
      <c r="W28" s="80"/>
      <c r="X28" s="80"/>
      <c r="Y28" s="80"/>
      <c r="Z28" s="80"/>
      <c r="AA28" s="29"/>
    </row>
    <row r="29" spans="1:27" s="3" customFormat="1" ht="30" customHeight="1" thickBot="1" x14ac:dyDescent="0.35">
      <c r="A29" s="42"/>
      <c r="B29" s="59" t="s">
        <v>17</v>
      </c>
      <c r="C29" s="54"/>
      <c r="D29" s="24"/>
      <c r="E29" s="75" t="s">
        <v>25</v>
      </c>
      <c r="F29" s="75" t="s">
        <v>25</v>
      </c>
      <c r="G29" s="12"/>
      <c r="H29" s="29"/>
      <c r="I29" s="85"/>
      <c r="J29" s="92"/>
      <c r="K29" s="80"/>
      <c r="L29" s="80"/>
      <c r="M29" s="84"/>
      <c r="N29" s="92"/>
      <c r="O29" s="80"/>
      <c r="P29" s="80"/>
      <c r="Q29" s="80"/>
      <c r="R29" s="80"/>
      <c r="S29" s="80"/>
      <c r="T29" s="80"/>
      <c r="U29" s="84"/>
      <c r="V29" s="92"/>
      <c r="W29" s="80"/>
      <c r="X29" s="80"/>
      <c r="Y29" s="80"/>
      <c r="Z29" s="80"/>
      <c r="AA29" s="29"/>
    </row>
    <row r="30" spans="1:27" s="3" customFormat="1" ht="30" customHeight="1" thickBot="1" x14ac:dyDescent="0.35">
      <c r="A30" s="42"/>
      <c r="B30" s="59" t="s">
        <v>18</v>
      </c>
      <c r="C30" s="54"/>
      <c r="D30" s="24"/>
      <c r="E30" s="75" t="s">
        <v>25</v>
      </c>
      <c r="F30" s="75" t="s">
        <v>25</v>
      </c>
      <c r="G30" s="12"/>
      <c r="H30" s="29"/>
      <c r="I30" s="85"/>
      <c r="J30" s="92"/>
      <c r="K30" s="80"/>
      <c r="L30" s="80"/>
      <c r="M30" s="84"/>
      <c r="N30" s="92"/>
      <c r="O30" s="80"/>
      <c r="P30" s="80"/>
      <c r="Q30" s="80"/>
      <c r="R30" s="80"/>
      <c r="S30" s="80"/>
      <c r="T30" s="80"/>
      <c r="U30" s="84"/>
      <c r="V30" s="92"/>
      <c r="W30" s="80"/>
      <c r="X30" s="80"/>
      <c r="Y30" s="80"/>
      <c r="Z30" s="80"/>
      <c r="AA30" s="29"/>
    </row>
    <row r="31" spans="1:27" s="3" customFormat="1" ht="30" customHeight="1" thickBot="1" x14ac:dyDescent="0.35">
      <c r="A31" s="42" t="s">
        <v>10</v>
      </c>
      <c r="B31" s="60"/>
      <c r="C31" s="55"/>
      <c r="D31" s="11"/>
      <c r="E31" s="76"/>
      <c r="F31" s="76"/>
      <c r="G31" s="12"/>
      <c r="H31" s="29"/>
      <c r="I31" s="29"/>
      <c r="J31" s="29"/>
      <c r="K31" s="82"/>
      <c r="L31" s="29"/>
      <c r="M31" s="29"/>
      <c r="N31" s="29"/>
      <c r="O31" s="29"/>
      <c r="P31" s="29"/>
      <c r="Q31" s="29"/>
      <c r="R31" s="29"/>
      <c r="S31" s="29"/>
      <c r="T31" s="29"/>
      <c r="U31" s="29"/>
      <c r="V31" s="29"/>
      <c r="W31" s="29"/>
      <c r="X31" s="29"/>
      <c r="Y31" s="29"/>
      <c r="Z31" s="29"/>
      <c r="AA31" s="29"/>
    </row>
    <row r="32" spans="1:27" s="3" customFormat="1" ht="30" customHeight="1" thickBot="1" x14ac:dyDescent="0.35">
      <c r="A32" s="43" t="s">
        <v>11</v>
      </c>
      <c r="B32" s="25" t="s">
        <v>20</v>
      </c>
      <c r="C32" s="26"/>
      <c r="D32" s="27"/>
      <c r="E32" s="77"/>
      <c r="F32" s="78"/>
      <c r="G32" s="28"/>
      <c r="H32" s="30"/>
      <c r="I32" s="30"/>
      <c r="J32" s="30"/>
      <c r="K32" s="30"/>
      <c r="L32" s="30"/>
      <c r="M32" s="30"/>
      <c r="N32" s="30"/>
      <c r="O32" s="30"/>
      <c r="P32" s="30"/>
      <c r="Q32" s="30"/>
      <c r="R32" s="30"/>
      <c r="S32" s="30"/>
      <c r="T32" s="30"/>
      <c r="U32" s="30"/>
      <c r="V32" s="30"/>
      <c r="W32" s="30"/>
      <c r="X32" s="30"/>
      <c r="Y32" s="30"/>
      <c r="Z32" s="30"/>
      <c r="AA32" s="30"/>
    </row>
    <row r="33" spans="3:7" ht="30" customHeight="1" x14ac:dyDescent="0.3">
      <c r="G33" s="6"/>
    </row>
    <row r="34" spans="3:7" ht="30" customHeight="1" x14ac:dyDescent="0.3">
      <c r="C34" s="9"/>
      <c r="F34" s="44"/>
    </row>
    <row r="35" spans="3:7" ht="30" customHeight="1" x14ac:dyDescent="0.3">
      <c r="C35" s="10"/>
    </row>
  </sheetData>
  <mergeCells count="3">
    <mergeCell ref="E3:F3"/>
    <mergeCell ref="C3:D3"/>
    <mergeCell ref="B2:B3"/>
  </mergeCells>
  <conditionalFormatting sqref="D5:D32">
    <cfRule type="dataBar" priority="41">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AA6 I14:AA15 J6:Z7 H10:AA13 I7:AA7 J16:AA16 H16:H18 H19:AA32 K17:AA17 L18:AA18 J10:Z16 H8 L8:AA8 H9:K9 M9:AA9">
    <cfRule type="expression" dxfId="29" priority="54">
      <formula>AND(task_start&lt;=#REF!,ROUNDDOWN((task_end-task_start+1)*task_progress,0)+task_start-1&gt;=#REF!)</formula>
    </cfRule>
    <cfRule type="expression" dxfId="28" priority="55" stopIfTrue="1">
      <formula>AND(task_end&gt;=#REF!,task_start&lt;#REF!)</formula>
    </cfRule>
    <cfRule type="expression" dxfId="27" priority="61">
      <formula>AND(TODAY()&gt;=#REF!,TODAY()&lt;#REF!)</formula>
    </cfRule>
  </conditionalFormatting>
  <conditionalFormatting sqref="G13">
    <cfRule type="expression" dxfId="26" priority="25">
      <formula>AND(task_start&lt;=#REF!,ROUNDDOWN((task_end-task_start+1)*task_progress,0)+task_start-1&gt;=#REF!)</formula>
    </cfRule>
    <cfRule type="expression" dxfId="25" priority="26" stopIfTrue="1">
      <formula>AND(task_end&gt;=#REF!,task_start&lt;#REF!)</formula>
    </cfRule>
    <cfRule type="expression" dxfId="24" priority="27">
      <formula>AND(TODAY()&gt;=#REF!,TODAY()&lt;#REF!)</formula>
    </cfRule>
  </conditionalFormatting>
  <conditionalFormatting sqref="G14:H14">
    <cfRule type="expression" dxfId="23" priority="22">
      <formula>AND(task_start&lt;=#REF!,ROUNDDOWN((task_end-task_start+1)*task_progress,0)+task_start-1&gt;=#REF!)</formula>
    </cfRule>
    <cfRule type="expression" dxfId="22" priority="23" stopIfTrue="1">
      <formula>AND(task_end&gt;=#REF!,task_start&lt;#REF!)</formula>
    </cfRule>
    <cfRule type="expression" dxfId="21" priority="24">
      <formula>AND(TODAY()&gt;=#REF!,TODAY()&lt;#REF!)</formula>
    </cfRule>
  </conditionalFormatting>
  <conditionalFormatting sqref="H15">
    <cfRule type="expression" dxfId="20" priority="19">
      <formula>AND(task_start&lt;=#REF!,ROUNDDOWN((task_end-task_start+1)*task_progress,0)+task_start-1&gt;=#REF!)</formula>
    </cfRule>
    <cfRule type="expression" dxfId="19" priority="20" stopIfTrue="1">
      <formula>AND(task_end&gt;=#REF!,task_start&lt;#REF!)</formula>
    </cfRule>
    <cfRule type="expression" dxfId="18" priority="21">
      <formula>AND(TODAY()&gt;=#REF!,TODAY()&lt;#REF!)</formula>
    </cfRule>
  </conditionalFormatting>
  <conditionalFormatting sqref="I16">
    <cfRule type="expression" dxfId="17" priority="16">
      <formula>AND(task_start&lt;=#REF!,ROUNDDOWN((task_end-task_start+1)*task_progress,0)+task_start-1&gt;=#REF!)</formula>
    </cfRule>
    <cfRule type="expression" dxfId="16" priority="17" stopIfTrue="1">
      <formula>AND(task_end&gt;=#REF!,task_start&lt;#REF!)</formula>
    </cfRule>
    <cfRule type="expression" dxfId="15" priority="18">
      <formula>AND(TODAY()&gt;=#REF!,TODAY()&lt;#REF!)</formula>
    </cfRule>
  </conditionalFormatting>
  <conditionalFormatting sqref="I17:J17">
    <cfRule type="expression" dxfId="14" priority="13">
      <formula>AND(task_start&lt;=#REF!,ROUNDDOWN((task_end-task_start+1)*task_progress,0)+task_start-1&gt;=#REF!)</formula>
    </cfRule>
    <cfRule type="expression" dxfId="13" priority="14" stopIfTrue="1">
      <formula>AND(task_end&gt;=#REF!,task_start&lt;#REF!)</formula>
    </cfRule>
    <cfRule type="expression" dxfId="12" priority="15">
      <formula>AND(TODAY()&gt;=#REF!,TODAY()&lt;#REF!)</formula>
    </cfRule>
  </conditionalFormatting>
  <conditionalFormatting sqref="I18:K18">
    <cfRule type="expression" dxfId="2" priority="1">
      <formula>AND(task_start&lt;=#REF!,ROUNDDOWN((task_end-task_start+1)*task_progress,0)+task_start-1&gt;=#REF!)</formula>
    </cfRule>
    <cfRule type="expression" dxfId="1" priority="2" stopIfTrue="1">
      <formula>AND(task_end&gt;=#REF!,task_start&lt;#REF!)</formula>
    </cfRule>
    <cfRule type="expression" dxfId="0" priority="3">
      <formula>AND(TODAY()&gt;=#REF!,TODAY()&lt;#REF!)</formula>
    </cfRule>
  </conditionalFormatting>
  <hyperlinks>
    <hyperlink ref="H2" r:id="rId1" xr:uid="{00000000-0004-0000-0000-000000000000}"/>
    <hyperlink ref="H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ignoredErrors>
    <ignoredError sqref="F16 F21:F22 E22"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D5:D32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5" zoomScaleNormal="100" workbookViewId="0">
      <selection activeCell="A10" sqref="A10"/>
    </sheetView>
  </sheetViews>
  <sheetFormatPr baseColWidth="10" defaultColWidth="9.109375" defaultRowHeight="13.8" x14ac:dyDescent="0.3"/>
  <cols>
    <col min="1" max="1" width="104.77734375" style="32" bestFit="1" customWidth="1"/>
    <col min="2" max="16384" width="9.109375" style="2"/>
  </cols>
  <sheetData>
    <row r="1" spans="1:2" ht="46.5" customHeight="1" x14ac:dyDescent="0.3"/>
    <row r="2" spans="1:2" s="34" customFormat="1" ht="15.6" x14ac:dyDescent="0.3">
      <c r="A2" s="33" t="s">
        <v>27</v>
      </c>
      <c r="B2" s="33"/>
    </row>
    <row r="3" spans="1:2" s="38" customFormat="1" ht="27" customHeight="1" x14ac:dyDescent="0.3">
      <c r="A3" s="63" t="s">
        <v>28</v>
      </c>
      <c r="B3" s="39"/>
    </row>
    <row r="4" spans="1:2" s="35" customFormat="1" ht="25.8" x14ac:dyDescent="0.5">
      <c r="A4" s="36" t="s">
        <v>29</v>
      </c>
    </row>
    <row r="5" spans="1:2" ht="74.099999999999994" customHeight="1" x14ac:dyDescent="0.3">
      <c r="A5" s="37" t="s">
        <v>30</v>
      </c>
    </row>
    <row r="6" spans="1:2" ht="26.25" customHeight="1" x14ac:dyDescent="0.3">
      <c r="A6" s="36" t="s">
        <v>31</v>
      </c>
    </row>
    <row r="7" spans="1:2" s="32" customFormat="1" ht="204.9" customHeight="1" x14ac:dyDescent="0.3">
      <c r="A7" s="41" t="s">
        <v>32</v>
      </c>
    </row>
    <row r="8" spans="1:2" s="35" customFormat="1" ht="25.8" x14ac:dyDescent="0.5">
      <c r="A8" s="36" t="s">
        <v>33</v>
      </c>
    </row>
    <row r="9" spans="1:2" ht="60" customHeight="1" x14ac:dyDescent="0.3">
      <c r="A9" s="37" t="s">
        <v>34</v>
      </c>
    </row>
    <row r="10" spans="1:2" s="32" customFormat="1" ht="27.9" customHeight="1" x14ac:dyDescent="0.3">
      <c r="A10" s="40" t="s">
        <v>35</v>
      </c>
    </row>
    <row r="11" spans="1:2" s="35" customFormat="1" ht="25.8" x14ac:dyDescent="0.5">
      <c r="A11" s="36" t="s">
        <v>36</v>
      </c>
    </row>
    <row r="12" spans="1:2" ht="30" customHeight="1" x14ac:dyDescent="0.3">
      <c r="A12" s="37" t="s">
        <v>37</v>
      </c>
    </row>
    <row r="13" spans="1:2" s="32" customFormat="1" ht="27.9" customHeight="1" x14ac:dyDescent="0.3">
      <c r="A13" s="40" t="s">
        <v>38</v>
      </c>
    </row>
    <row r="14" spans="1:2" s="35" customFormat="1" ht="25.8" x14ac:dyDescent="0.5">
      <c r="A14" s="36" t="s">
        <v>39</v>
      </c>
    </row>
    <row r="15" spans="1:2" ht="75" customHeight="1" x14ac:dyDescent="0.3">
      <c r="A15" s="37" t="s">
        <v>40</v>
      </c>
    </row>
    <row r="16" spans="1:2" ht="75" customHeight="1" x14ac:dyDescent="0.3">
      <c r="A16" s="37" t="s">
        <v>41</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5</vt:i4>
      </vt:variant>
    </vt:vector>
  </HeadingPairs>
  <TitlesOfParts>
    <vt:vector size="7" baseType="lpstr">
      <vt:lpstr>Projektplan</vt:lpstr>
      <vt:lpstr>Info</vt:lpstr>
      <vt:lpstr>Projektplan!Drucktitel</vt:lpstr>
      <vt:lpstr>Projektanfang</vt:lpstr>
      <vt:lpstr>Projektplan!task_end</vt:lpstr>
      <vt:lpstr>Projektplan!task_progress</vt:lpstr>
      <vt:lpstr>Projektplan!task_start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2026-10-20T09:13:38Z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